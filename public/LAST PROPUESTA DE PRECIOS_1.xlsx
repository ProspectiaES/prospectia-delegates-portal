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a58927ae4334ad/GEONGANG/WOOSHIN LABOTTACH/GESTIO/PREUS VENDA/"/>
    </mc:Choice>
  </mc:AlternateContent>
  <xr:revisionPtr revIDLastSave="1" documentId="8_{24C54C9F-A0D2-4E75-A08D-1EB7908AC05D}" xr6:coauthVersionLast="47" xr6:coauthVersionMax="47" xr10:uidLastSave="{A5803747-BA20-4BAF-8C45-4F84DD7148E6}"/>
  <bookViews>
    <workbookView xWindow="780" yWindow="780" windowWidth="29430" windowHeight="14430" xr2:uid="{D73719EC-CDDB-4B53-82AC-4C20CBE708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6" i="1"/>
  <c r="K9" i="1"/>
  <c r="J9" i="1" s="1"/>
  <c r="K7" i="1"/>
  <c r="L7" i="1"/>
  <c r="L8" i="1"/>
  <c r="K8" i="1" s="1"/>
  <c r="L9" i="1"/>
  <c r="L10" i="1"/>
  <c r="K10" i="1" s="1"/>
  <c r="J10" i="1" s="1"/>
  <c r="L6" i="1"/>
  <c r="K6" i="1" s="1"/>
  <c r="O6" i="1"/>
  <c r="C34" i="1"/>
  <c r="C28" i="1"/>
  <c r="C29" i="1" s="1"/>
  <c r="E6" i="1" s="1"/>
  <c r="O7" i="1"/>
  <c r="O8" i="1"/>
  <c r="O9" i="1"/>
  <c r="O10" i="1"/>
  <c r="O11" i="1"/>
  <c r="J7" i="1" l="1"/>
  <c r="I7" i="1" s="1"/>
  <c r="J6" i="1"/>
  <c r="I6" i="1" s="1"/>
  <c r="J8" i="1"/>
  <c r="I8" i="1"/>
  <c r="I10" i="1"/>
  <c r="I9" i="1"/>
  <c r="E11" i="1"/>
  <c r="E7" i="1"/>
  <c r="E9" i="1"/>
  <c r="E8" i="1"/>
  <c r="E10" i="1"/>
  <c r="F6" i="1" l="1"/>
  <c r="N6" i="1" s="1"/>
  <c r="H6" i="1" l="1"/>
  <c r="F7" i="1"/>
  <c r="N7" i="1" l="1"/>
  <c r="H7" i="1"/>
  <c r="F8" i="1"/>
  <c r="F9" i="1"/>
  <c r="F10" i="1"/>
  <c r="H10" i="1" s="1"/>
  <c r="N9" i="1" l="1"/>
  <c r="H9" i="1"/>
  <c r="N8" i="1"/>
  <c r="H8" i="1"/>
  <c r="N10" i="1"/>
  <c r="F11" i="1"/>
  <c r="N11" i="1" l="1"/>
</calcChain>
</file>

<file path=xl/sharedStrings.xml><?xml version="1.0" encoding="utf-8"?>
<sst xmlns="http://schemas.openxmlformats.org/spreadsheetml/2006/main" count="56" uniqueCount="51">
  <si>
    <t>Landing cost</t>
  </si>
  <si>
    <t>Neck &amp; Chin Care Patch</t>
  </si>
  <si>
    <t>2 PATCHES/POUCH, 2 POUCHES/BOX</t>
  </si>
  <si>
    <t>T-zone AG Patch</t>
  </si>
  <si>
    <t>Eye Area Bright Patch</t>
  </si>
  <si>
    <t>1 PAIR/POUCH, 4 POUCHES/BOX</t>
  </si>
  <si>
    <t>Tattoo Care Patch</t>
  </si>
  <si>
    <t>2 SHEET/POUCH, 2 POUCHES/BOX</t>
  </si>
  <si>
    <t>Nail AG Patch</t>
  </si>
  <si>
    <t>20 PATCHES/ POUCH, 1 POUCH/BOX</t>
  </si>
  <si>
    <t>Post Laser Patch</t>
  </si>
  <si>
    <t>4 SHEET/POUCH</t>
  </si>
  <si>
    <t>Almacenaje</t>
  </si>
  <si>
    <t>Expedición</t>
  </si>
  <si>
    <t>Recepción</t>
  </si>
  <si>
    <t>Etiquetage</t>
  </si>
  <si>
    <t>Etiquetes</t>
  </si>
  <si>
    <t>Compra</t>
  </si>
  <si>
    <t>Coste</t>
  </si>
  <si>
    <t xml:space="preserve">DOCUMENTOS+ENS </t>
  </si>
  <si>
    <t>FLETE</t>
  </si>
  <si>
    <t>DESPACHO ADUANAS</t>
  </si>
  <si>
    <t>ENTREGA Y RECOGIDAS</t>
  </si>
  <si>
    <t xml:space="preserve">MANIPULACION </t>
  </si>
  <si>
    <t xml:space="preserve">MOVIMIENTO CONTENEDOR </t>
  </si>
  <si>
    <t xml:space="preserve">T3 </t>
  </si>
  <si>
    <t xml:space="preserve">CARGA CAMION </t>
  </si>
  <si>
    <t>SUB- TOTAL</t>
  </si>
  <si>
    <t xml:space="preserve">Coste Unidad </t>
  </si>
  <si>
    <t>PVP sin IVA</t>
  </si>
  <si>
    <t>Margen a Tienda</t>
  </si>
  <si>
    <t>Margen On Line</t>
  </si>
  <si>
    <t>PVP con IVA</t>
  </si>
  <si>
    <t>Margen Distribuidor</t>
  </si>
  <si>
    <t xml:space="preserve">PVD </t>
  </si>
  <si>
    <t>PVL</t>
  </si>
  <si>
    <t xml:space="preserve">Margen Tienda </t>
  </si>
  <si>
    <t>PROVISION DE FONDOS</t>
  </si>
  <si>
    <t>Unitat</t>
  </si>
  <si>
    <t>GASTOS IMPORTACION - ALMACENAJE</t>
  </si>
  <si>
    <t>ETIQUETAJE Y MANIPULACION</t>
  </si>
  <si>
    <t>Picking</t>
  </si>
  <si>
    <t>Importadas 2300 unidades</t>
  </si>
  <si>
    <t>PRECIOS</t>
  </si>
  <si>
    <t>IBERCONDOR</t>
  </si>
  <si>
    <t>AIRPHARM</t>
  </si>
  <si>
    <t>POTS JUGAR AMB ELS MARGES DE CADA PERFIL, PER DEFECTE BOTIGA 50%  I DISTRIBUIDOR 40%</t>
  </si>
  <si>
    <t>NOMÉS OMPLIR COLUMNA PVP SIN IVA. CALCULA AUTOMATICAMENT MARGES PER A CADA PERFIL DE LA CADENA</t>
  </si>
  <si>
    <t>Margen a Delegado</t>
  </si>
  <si>
    <t>MARGE</t>
  </si>
  <si>
    <t>mage 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</si>
</sst>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8">
    <xf numFmtId="0" fontId="0" fillId="0" borderId="0" xfId="0"/>
    <xf numFmtId="44" fontId="0" fillId="0" borderId="0" xfId="0" applyNumberFormat="1"/>
    <xf numFmtId="44" fontId="0" fillId="0" borderId="0" xfId="1" applyFont="1" applyAlignment="1">
      <alignment horizontal="center"/>
    </xf>
    <xf numFmtId="0" fontId="0" fillId="0" borderId="1" xfId="0" applyBorder="1"/>
    <xf numFmtId="44" fontId="0" fillId="0" borderId="1" xfId="1" applyFont="1" applyBorder="1"/>
    <xf numFmtId="0" fontId="2" fillId="2" borderId="1" xfId="0" applyFont="1" applyFill="1" applyBorder="1"/>
    <xf numFmtId="44" fontId="0" fillId="2" borderId="1" xfId="1" applyFont="1" applyFill="1" applyBorder="1" applyAlignment="1">
      <alignment horizontal="center"/>
    </xf>
    <xf numFmtId="44" fontId="0" fillId="5" borderId="1" xfId="0" applyNumberFormat="1" applyFill="1" applyBorder="1"/>
    <xf numFmtId="44" fontId="0" fillId="6" borderId="1" xfId="0" applyNumberFormat="1" applyFill="1" applyBorder="1"/>
    <xf numFmtId="0" fontId="0" fillId="0" borderId="5" xfId="0" applyBorder="1"/>
    <xf numFmtId="44" fontId="2" fillId="6" borderId="6" xfId="0" applyNumberFormat="1" applyFont="1" applyFill="1" applyBorder="1"/>
    <xf numFmtId="0" fontId="0" fillId="0" borderId="7" xfId="0" applyBorder="1"/>
    <xf numFmtId="44" fontId="0" fillId="2" borderId="8" xfId="1" applyFont="1" applyFill="1" applyBorder="1" applyAlignment="1">
      <alignment horizontal="center"/>
    </xf>
    <xf numFmtId="44" fontId="0" fillId="5" borderId="8" xfId="0" applyNumberFormat="1" applyFill="1" applyBorder="1"/>
    <xf numFmtId="44" fontId="0" fillId="6" borderId="8" xfId="0" applyNumberFormat="1" applyFill="1" applyBorder="1"/>
    <xf numFmtId="44" fontId="2" fillId="6" borderId="9" xfId="0" applyNumberFormat="1" applyFont="1" applyFill="1" applyBorder="1"/>
    <xf numFmtId="0" fontId="0" fillId="0" borderId="11" xfId="0" applyBorder="1"/>
    <xf numFmtId="0" fontId="0" fillId="0" borderId="12" xfId="0" applyBorder="1"/>
    <xf numFmtId="44" fontId="0" fillId="0" borderId="5" xfId="1" applyFont="1" applyBorder="1" applyAlignment="1">
      <alignment horizontal="center"/>
    </xf>
    <xf numFmtId="44" fontId="0" fillId="0" borderId="7" xfId="1" applyFont="1" applyBorder="1" applyAlignment="1">
      <alignment horizontal="center"/>
    </xf>
    <xf numFmtId="44" fontId="0" fillId="4" borderId="14" xfId="1" applyFont="1" applyFill="1" applyBorder="1" applyAlignment="1">
      <alignment horizontal="center"/>
    </xf>
    <xf numFmtId="44" fontId="0" fillId="4" borderId="15" xfId="1" applyFont="1" applyFill="1" applyBorder="1" applyAlignment="1">
      <alignment horizontal="center"/>
    </xf>
    <xf numFmtId="44" fontId="0" fillId="4" borderId="11" xfId="0" applyNumberFormat="1" applyFill="1" applyBorder="1"/>
    <xf numFmtId="44" fontId="0" fillId="4" borderId="12" xfId="0" applyNumberFormat="1" applyFill="1" applyBorder="1"/>
    <xf numFmtId="44" fontId="0" fillId="6" borderId="5" xfId="1" applyFont="1" applyFill="1" applyBorder="1" applyAlignment="1">
      <alignment horizontal="center"/>
    </xf>
    <xf numFmtId="44" fontId="0" fillId="6" borderId="7" xfId="1" applyFont="1" applyFill="1" applyBorder="1" applyAlignment="1">
      <alignment horizontal="center"/>
    </xf>
    <xf numFmtId="0" fontId="0" fillId="4" borderId="1" xfId="0" applyFill="1" applyBorder="1"/>
    <xf numFmtId="9" fontId="0" fillId="4" borderId="1" xfId="1" applyNumberFormat="1" applyFont="1" applyFill="1" applyBorder="1" applyAlignment="1">
      <alignment horizontal="center"/>
    </xf>
    <xf numFmtId="0" fontId="0" fillId="5" borderId="1" xfId="0" applyFill="1" applyBorder="1"/>
    <xf numFmtId="9" fontId="0" fillId="5" borderId="1" xfId="1" applyNumberFormat="1" applyFont="1" applyFill="1" applyBorder="1" applyAlignment="1">
      <alignment horizontal="center"/>
    </xf>
    <xf numFmtId="44" fontId="2" fillId="0" borderId="2" xfId="1" applyFont="1" applyBorder="1" applyAlignment="1">
      <alignment horizontal="center" vertical="center"/>
    </xf>
    <xf numFmtId="44" fontId="2" fillId="2" borderId="3" xfId="1" applyFont="1" applyFill="1" applyBorder="1" applyAlignment="1">
      <alignment horizontal="center" vertical="center"/>
    </xf>
    <xf numFmtId="44" fontId="2" fillId="5" borderId="3" xfId="1" applyFont="1" applyFill="1" applyBorder="1" applyAlignment="1">
      <alignment horizontal="center" vertical="center" wrapText="1"/>
    </xf>
    <xf numFmtId="44" fontId="2" fillId="4" borderId="13" xfId="1" applyFont="1" applyFill="1" applyBorder="1" applyAlignment="1">
      <alignment horizontal="center" vertical="center"/>
    </xf>
    <xf numFmtId="44" fontId="2" fillId="4" borderId="10" xfId="1" applyFont="1" applyFill="1" applyBorder="1" applyAlignment="1">
      <alignment horizontal="center" vertical="center" wrapText="1"/>
    </xf>
    <xf numFmtId="44" fontId="2" fillId="6" borderId="2" xfId="1" applyFont="1" applyFill="1" applyBorder="1" applyAlignment="1">
      <alignment horizontal="center" vertical="center"/>
    </xf>
    <xf numFmtId="44" fontId="2" fillId="6" borderId="3" xfId="1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vertical="center"/>
    </xf>
    <xf numFmtId="44" fontId="0" fillId="0" borderId="1" xfId="1" applyFont="1" applyBorder="1" applyAlignment="1">
      <alignment horizontal="center"/>
    </xf>
    <xf numFmtId="0" fontId="2" fillId="2" borderId="16" xfId="0" applyFont="1" applyFill="1" applyBorder="1"/>
    <xf numFmtId="44" fontId="0" fillId="0" borderId="0" xfId="1" applyFont="1" applyBorder="1"/>
    <xf numFmtId="2" fontId="0" fillId="0" borderId="0" xfId="1" applyNumberFormat="1" applyFont="1" applyBorder="1"/>
    <xf numFmtId="44" fontId="2" fillId="2" borderId="16" xfId="1" applyFont="1" applyFill="1" applyBorder="1"/>
    <xf numFmtId="44" fontId="0" fillId="0" borderId="0" xfId="1" applyFont="1" applyAlignment="1">
      <alignment horizontal="left"/>
    </xf>
    <xf numFmtId="44" fontId="2" fillId="3" borderId="10" xfId="1" applyFont="1" applyFill="1" applyBorder="1" applyAlignment="1">
      <alignment horizontal="center" vertical="center"/>
    </xf>
    <xf numFmtId="44" fontId="0" fillId="3" borderId="11" xfId="1" applyFont="1" applyFill="1" applyBorder="1" applyAlignment="1">
      <alignment horizontal="center"/>
    </xf>
    <xf numFmtId="44" fontId="0" fillId="3" borderId="12" xfId="1" applyFont="1" applyFill="1" applyBorder="1" applyAlignment="1">
      <alignment horizontal="center"/>
    </xf>
    <xf numFmtId="44" fontId="0" fillId="7" borderId="1" xfId="1" applyFont="1" applyFill="1" applyBorder="1" applyAlignment="1">
      <alignment horizontal="center"/>
    </xf>
    <xf numFmtId="44" fontId="2" fillId="5" borderId="13" xfId="1" applyFont="1" applyFill="1" applyBorder="1" applyAlignment="1">
      <alignment horizontal="center" vertical="center"/>
    </xf>
    <xf numFmtId="44" fontId="0" fillId="5" borderId="14" xfId="1" applyFont="1" applyFill="1" applyBorder="1" applyAlignment="1">
      <alignment horizontal="center"/>
    </xf>
    <xf numFmtId="44" fontId="2" fillId="7" borderId="3" xfId="1" applyFont="1" applyFill="1" applyBorder="1" applyAlignment="1">
      <alignment horizontal="center" vertical="center" wrapText="1"/>
    </xf>
    <xf numFmtId="44" fontId="2" fillId="7" borderId="3" xfId="1" applyFont="1" applyFill="1" applyBorder="1" applyAlignment="1">
      <alignment horizontal="center" vertical="center"/>
    </xf>
    <xf numFmtId="44" fontId="0" fillId="7" borderId="8" xfId="1" applyFont="1" applyFill="1" applyBorder="1" applyAlignment="1">
      <alignment horizontal="center"/>
    </xf>
    <xf numFmtId="44" fontId="0" fillId="5" borderId="15" xfId="1" applyFont="1" applyFill="1" applyBorder="1" applyAlignment="1">
      <alignment horizontal="center"/>
    </xf>
    <xf numFmtId="44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vertical="center"/>
    </xf>
    <xf numFmtId="0" fontId="2" fillId="0" borderId="10" xfId="0" applyFont="1" applyBorder="1" applyAlignment="1">
      <alignment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7DBED-C2FE-4EFD-B735-2975E5DD7E06}">
  <dimension ref="B2:O37"/>
  <sheetViews>
    <sheetView tabSelected="1" workbookViewId="0">
      <selection activeCell="B5" sqref="B5:H10"/>
    </sheetView>
  </sheetViews>
  <sheetFormatPr defaultColWidth="11.42578125" defaultRowHeight="15" x14ac:dyDescent="0.25"/>
  <cols>
    <col min="2" max="2" width="26.140625" bestFit="1" customWidth="1"/>
    <col min="3" max="3" width="32.85546875" bestFit="1" customWidth="1"/>
    <col min="4" max="4" width="14.28515625" style="2" bestFit="1" customWidth="1"/>
    <col min="5" max="5" width="13.7109375" style="2" bestFit="1" customWidth="1"/>
    <col min="6" max="6" width="7.85546875" style="2" bestFit="1" customWidth="1"/>
    <col min="7" max="7" width="10.85546875" style="2" customWidth="1"/>
    <col min="8" max="8" width="7.85546875" style="2" customWidth="1"/>
    <col min="9" max="9" width="11.5703125" style="2" bestFit="1" customWidth="1"/>
    <col min="10" max="12" width="12.5703125" customWidth="1"/>
    <col min="13" max="13" width="11.140625" style="2" bestFit="1" customWidth="1"/>
    <col min="14" max="14" width="12" bestFit="1" customWidth="1"/>
    <col min="15" max="15" width="12.28515625" style="2" bestFit="1" customWidth="1"/>
    <col min="16" max="16" width="11.42578125" customWidth="1"/>
  </cols>
  <sheetData>
    <row r="2" spans="2:15" x14ac:dyDescent="0.25">
      <c r="C2" s="26" t="s">
        <v>36</v>
      </c>
      <c r="D2" s="27">
        <v>0.35</v>
      </c>
      <c r="F2" t="s">
        <v>47</v>
      </c>
      <c r="G2"/>
      <c r="H2"/>
    </row>
    <row r="3" spans="2:15" x14ac:dyDescent="0.25">
      <c r="C3" s="28" t="s">
        <v>33</v>
      </c>
      <c r="D3" s="29">
        <v>0.2</v>
      </c>
      <c r="F3" s="43" t="s">
        <v>46</v>
      </c>
      <c r="G3" s="43"/>
      <c r="H3" s="43"/>
    </row>
    <row r="4" spans="2:15" ht="15.75" thickBot="1" x14ac:dyDescent="0.3"/>
    <row r="5" spans="2:15" ht="30" x14ac:dyDescent="0.25">
      <c r="B5" s="56" t="s">
        <v>43</v>
      </c>
      <c r="C5" s="57"/>
      <c r="D5" s="30" t="s">
        <v>17</v>
      </c>
      <c r="E5" s="31" t="s">
        <v>0</v>
      </c>
      <c r="F5" s="44" t="s">
        <v>18</v>
      </c>
      <c r="G5" s="50" t="s">
        <v>50</v>
      </c>
      <c r="H5" s="51" t="s">
        <v>49</v>
      </c>
      <c r="I5" s="48" t="s">
        <v>34</v>
      </c>
      <c r="J5" s="32" t="s">
        <v>48</v>
      </c>
      <c r="K5" s="33" t="s">
        <v>35</v>
      </c>
      <c r="L5" s="34" t="s">
        <v>30</v>
      </c>
      <c r="M5" s="35" t="s">
        <v>29</v>
      </c>
      <c r="N5" s="36" t="s">
        <v>31</v>
      </c>
      <c r="O5" s="37" t="s">
        <v>32</v>
      </c>
    </row>
    <row r="6" spans="2:15" x14ac:dyDescent="0.25">
      <c r="B6" s="9" t="s">
        <v>1</v>
      </c>
      <c r="C6" s="16" t="s">
        <v>2</v>
      </c>
      <c r="D6" s="18">
        <v>3.48</v>
      </c>
      <c r="E6" s="6">
        <f>C29+C34</f>
        <v>1.9323260869565217</v>
      </c>
      <c r="F6" s="45">
        <f>D6+E6</f>
        <v>5.4123260869565222</v>
      </c>
      <c r="G6" s="47">
        <f>H6/2</f>
        <v>2.4938369565217391</v>
      </c>
      <c r="H6" s="47">
        <f>I6-F6</f>
        <v>4.9876739130434782</v>
      </c>
      <c r="I6" s="49">
        <f>K6-J6</f>
        <v>10.4</v>
      </c>
      <c r="J6" s="7">
        <f>K6*$D$3</f>
        <v>2.6</v>
      </c>
      <c r="K6" s="20">
        <f>M6-L6</f>
        <v>13</v>
      </c>
      <c r="L6" s="22">
        <f>M6*$D$2</f>
        <v>7</v>
      </c>
      <c r="M6" s="24">
        <v>20</v>
      </c>
      <c r="N6" s="8">
        <f t="shared" ref="N6:N11" si="0">M6-F6</f>
        <v>14.587673913043478</v>
      </c>
      <c r="O6" s="10">
        <f>M6+(M6*0.21)</f>
        <v>24.2</v>
      </c>
    </row>
    <row r="7" spans="2:15" x14ac:dyDescent="0.25">
      <c r="B7" s="9" t="s">
        <v>3</v>
      </c>
      <c r="C7" s="16" t="s">
        <v>2</v>
      </c>
      <c r="D7" s="18">
        <v>2.87</v>
      </c>
      <c r="E7" s="6">
        <f>C29+C34</f>
        <v>1.9323260869565217</v>
      </c>
      <c r="F7" s="45">
        <f t="shared" ref="F7:F11" si="1">D7+E7</f>
        <v>4.8023260869565219</v>
      </c>
      <c r="G7" s="47">
        <f t="shared" ref="G7:G10" si="2">H7/2</f>
        <v>2.7988369565217392</v>
      </c>
      <c r="H7" s="47">
        <f t="shared" ref="H7:H10" si="3">I7-F7</f>
        <v>5.5976739130434785</v>
      </c>
      <c r="I7" s="49">
        <f t="shared" ref="I7:I10" si="4">K7-J7</f>
        <v>10.4</v>
      </c>
      <c r="J7" s="7">
        <f t="shared" ref="J7:J10" si="5">K7*$D$3</f>
        <v>2.6</v>
      </c>
      <c r="K7" s="20">
        <f>M7-L7</f>
        <v>13</v>
      </c>
      <c r="L7" s="22">
        <f t="shared" ref="L7:L10" si="6">M7*$D$2</f>
        <v>7</v>
      </c>
      <c r="M7" s="24">
        <v>20</v>
      </c>
      <c r="N7" s="8">
        <f t="shared" si="0"/>
        <v>15.197673913043477</v>
      </c>
      <c r="O7" s="10">
        <f t="shared" ref="O7:O11" si="7">M7+(M7*0.21)</f>
        <v>24.2</v>
      </c>
    </row>
    <row r="8" spans="2:15" x14ac:dyDescent="0.25">
      <c r="B8" s="9" t="s">
        <v>4</v>
      </c>
      <c r="C8" s="16" t="s">
        <v>5</v>
      </c>
      <c r="D8" s="18">
        <v>1.65</v>
      </c>
      <c r="E8" s="6">
        <f>C29+C34</f>
        <v>1.9323260869565217</v>
      </c>
      <c r="F8" s="45">
        <f t="shared" si="1"/>
        <v>3.5823260869565217</v>
      </c>
      <c r="G8" s="47">
        <f t="shared" si="2"/>
        <v>2.6288369565217389</v>
      </c>
      <c r="H8" s="47">
        <f t="shared" si="3"/>
        <v>5.2576739130434778</v>
      </c>
      <c r="I8" s="49">
        <f t="shared" si="4"/>
        <v>8.84</v>
      </c>
      <c r="J8" s="7">
        <f t="shared" si="5"/>
        <v>2.2100000000000004</v>
      </c>
      <c r="K8" s="20">
        <f>M8-L8</f>
        <v>11.05</v>
      </c>
      <c r="L8" s="22">
        <f t="shared" si="6"/>
        <v>5.9499999999999993</v>
      </c>
      <c r="M8" s="24">
        <v>17</v>
      </c>
      <c r="N8" s="8">
        <f t="shared" si="0"/>
        <v>13.417673913043478</v>
      </c>
      <c r="O8" s="10">
        <f t="shared" si="7"/>
        <v>20.57</v>
      </c>
    </row>
    <row r="9" spans="2:15" x14ac:dyDescent="0.25">
      <c r="B9" s="9" t="s">
        <v>6</v>
      </c>
      <c r="C9" s="16" t="s">
        <v>7</v>
      </c>
      <c r="D9" s="18">
        <v>2.96</v>
      </c>
      <c r="E9" s="6">
        <f>C29+C34</f>
        <v>1.9323260869565217</v>
      </c>
      <c r="F9" s="45">
        <f t="shared" si="1"/>
        <v>4.8923260869565217</v>
      </c>
      <c r="G9" s="47">
        <f t="shared" si="2"/>
        <v>2.7538369565217393</v>
      </c>
      <c r="H9" s="47">
        <f t="shared" si="3"/>
        <v>5.5076739130434786</v>
      </c>
      <c r="I9" s="49">
        <f t="shared" si="4"/>
        <v>10.4</v>
      </c>
      <c r="J9" s="7">
        <f t="shared" si="5"/>
        <v>2.6</v>
      </c>
      <c r="K9" s="20">
        <f>M9-L9</f>
        <v>13</v>
      </c>
      <c r="L9" s="22">
        <f t="shared" si="6"/>
        <v>7</v>
      </c>
      <c r="M9" s="24">
        <v>20</v>
      </c>
      <c r="N9" s="8">
        <f t="shared" si="0"/>
        <v>15.107673913043477</v>
      </c>
      <c r="O9" s="10">
        <f t="shared" si="7"/>
        <v>24.2</v>
      </c>
    </row>
    <row r="10" spans="2:15" x14ac:dyDescent="0.25">
      <c r="B10" s="9" t="s">
        <v>8</v>
      </c>
      <c r="C10" s="16" t="s">
        <v>9</v>
      </c>
      <c r="D10" s="18">
        <v>1.65</v>
      </c>
      <c r="E10" s="6">
        <f>C29+C34</f>
        <v>1.9323260869565217</v>
      </c>
      <c r="F10" s="45">
        <f t="shared" si="1"/>
        <v>3.5823260869565217</v>
      </c>
      <c r="G10" s="47">
        <f t="shared" si="2"/>
        <v>2.6288369565217389</v>
      </c>
      <c r="H10" s="47">
        <f t="shared" si="3"/>
        <v>5.2576739130434778</v>
      </c>
      <c r="I10" s="49">
        <f t="shared" si="4"/>
        <v>8.84</v>
      </c>
      <c r="J10" s="7">
        <f t="shared" si="5"/>
        <v>2.2100000000000004</v>
      </c>
      <c r="K10" s="20">
        <f>M10-L10</f>
        <v>11.05</v>
      </c>
      <c r="L10" s="22">
        <f t="shared" si="6"/>
        <v>5.9499999999999993</v>
      </c>
      <c r="M10" s="24">
        <v>17</v>
      </c>
      <c r="N10" s="8">
        <f t="shared" si="0"/>
        <v>13.417673913043478</v>
      </c>
      <c r="O10" s="10">
        <f t="shared" si="7"/>
        <v>20.57</v>
      </c>
    </row>
    <row r="11" spans="2:15" ht="15.75" thickBot="1" x14ac:dyDescent="0.3">
      <c r="B11" s="11" t="s">
        <v>10</v>
      </c>
      <c r="C11" s="17" t="s">
        <v>11</v>
      </c>
      <c r="D11" s="19">
        <v>1.4</v>
      </c>
      <c r="E11" s="12">
        <f>C29+C34</f>
        <v>1.9323260869565217</v>
      </c>
      <c r="F11" s="46">
        <f t="shared" si="1"/>
        <v>3.3323260869565217</v>
      </c>
      <c r="G11" s="52"/>
      <c r="H11" s="52"/>
      <c r="I11" s="53"/>
      <c r="J11" s="13"/>
      <c r="K11" s="21"/>
      <c r="L11" s="23"/>
      <c r="M11" s="25"/>
      <c r="N11" s="14">
        <f t="shared" si="0"/>
        <v>-3.3323260869565217</v>
      </c>
      <c r="O11" s="15">
        <f t="shared" si="7"/>
        <v>0</v>
      </c>
    </row>
    <row r="13" spans="2:15" x14ac:dyDescent="0.25">
      <c r="B13" t="s">
        <v>42</v>
      </c>
      <c r="N13" s="1"/>
    </row>
    <row r="15" spans="2:15" x14ac:dyDescent="0.25">
      <c r="B15" s="55" t="s">
        <v>39</v>
      </c>
      <c r="C15" s="55"/>
      <c r="D15" s="55"/>
    </row>
    <row r="16" spans="2:15" x14ac:dyDescent="0.25">
      <c r="B16" s="3" t="s">
        <v>19</v>
      </c>
      <c r="C16" s="38">
        <v>55</v>
      </c>
      <c r="D16" s="54" t="s">
        <v>44</v>
      </c>
    </row>
    <row r="17" spans="2:4" x14ac:dyDescent="0.25">
      <c r="B17" s="3" t="s">
        <v>20</v>
      </c>
      <c r="C17" s="38">
        <v>650</v>
      </c>
      <c r="D17" s="54"/>
    </row>
    <row r="18" spans="2:4" x14ac:dyDescent="0.25">
      <c r="B18" s="3" t="s">
        <v>21</v>
      </c>
      <c r="C18" s="38">
        <v>75</v>
      </c>
      <c r="D18" s="54"/>
    </row>
    <row r="19" spans="2:4" x14ac:dyDescent="0.25">
      <c r="B19" s="3" t="s">
        <v>22</v>
      </c>
      <c r="C19" s="38">
        <v>55.81</v>
      </c>
      <c r="D19" s="54"/>
    </row>
    <row r="20" spans="2:4" x14ac:dyDescent="0.25">
      <c r="B20" s="3" t="s">
        <v>23</v>
      </c>
      <c r="C20" s="38">
        <v>49.5</v>
      </c>
      <c r="D20" s="54"/>
    </row>
    <row r="21" spans="2:4" x14ac:dyDescent="0.25">
      <c r="B21" s="3" t="s">
        <v>24</v>
      </c>
      <c r="C21" s="38">
        <v>10.08</v>
      </c>
      <c r="D21" s="54"/>
    </row>
    <row r="22" spans="2:4" x14ac:dyDescent="0.25">
      <c r="B22" s="3" t="s">
        <v>25</v>
      </c>
      <c r="C22" s="38">
        <v>3.96</v>
      </c>
      <c r="D22" s="54"/>
    </row>
    <row r="23" spans="2:4" x14ac:dyDescent="0.25">
      <c r="B23" s="3" t="s">
        <v>26</v>
      </c>
      <c r="C23" s="38">
        <v>90</v>
      </c>
      <c r="D23" s="54"/>
    </row>
    <row r="24" spans="2:4" x14ac:dyDescent="0.25">
      <c r="B24" s="3" t="s">
        <v>37</v>
      </c>
      <c r="C24" s="38">
        <v>200</v>
      </c>
      <c r="D24" s="54"/>
    </row>
    <row r="25" spans="2:4" x14ac:dyDescent="0.25">
      <c r="B25" s="3" t="s">
        <v>12</v>
      </c>
      <c r="C25" s="38">
        <v>1200</v>
      </c>
      <c r="D25" s="54" t="s">
        <v>45</v>
      </c>
    </row>
    <row r="26" spans="2:4" x14ac:dyDescent="0.25">
      <c r="B26" s="3" t="s">
        <v>13</v>
      </c>
      <c r="C26" s="38">
        <v>50</v>
      </c>
      <c r="D26" s="54"/>
    </row>
    <row r="27" spans="2:4" x14ac:dyDescent="0.25">
      <c r="B27" s="3" t="s">
        <v>14</v>
      </c>
      <c r="C27" s="38">
        <v>50</v>
      </c>
      <c r="D27" s="54"/>
    </row>
    <row r="28" spans="2:4" x14ac:dyDescent="0.25">
      <c r="B28" s="3" t="s">
        <v>27</v>
      </c>
      <c r="C28" s="38">
        <f>SUM(C16:C27)</f>
        <v>2489.35</v>
      </c>
      <c r="D28" s="54"/>
    </row>
    <row r="29" spans="2:4" x14ac:dyDescent="0.25">
      <c r="B29" s="39" t="s">
        <v>28</v>
      </c>
      <c r="C29" s="42">
        <f>C28/2300</f>
        <v>1.0823260869565217</v>
      </c>
    </row>
    <row r="30" spans="2:4" x14ac:dyDescent="0.25">
      <c r="B30" s="55" t="s">
        <v>40</v>
      </c>
      <c r="C30" s="55"/>
      <c r="D30" s="55"/>
    </row>
    <row r="31" spans="2:4" x14ac:dyDescent="0.25">
      <c r="B31" s="3" t="s">
        <v>15</v>
      </c>
      <c r="C31" s="4">
        <v>0.3</v>
      </c>
      <c r="D31" s="38" t="s">
        <v>38</v>
      </c>
    </row>
    <row r="32" spans="2:4" x14ac:dyDescent="0.25">
      <c r="B32" s="3" t="s">
        <v>16</v>
      </c>
      <c r="C32" s="4">
        <v>0.15</v>
      </c>
      <c r="D32" s="38" t="s">
        <v>38</v>
      </c>
    </row>
    <row r="33" spans="2:4" x14ac:dyDescent="0.25">
      <c r="B33" s="3" t="s">
        <v>41</v>
      </c>
      <c r="C33" s="4">
        <v>0.4</v>
      </c>
      <c r="D33" s="38" t="s">
        <v>38</v>
      </c>
    </row>
    <row r="34" spans="2:4" x14ac:dyDescent="0.25">
      <c r="B34" s="5" t="s">
        <v>28</v>
      </c>
      <c r="C34" s="5">
        <f>SUM(C31:C33)</f>
        <v>0.85</v>
      </c>
      <c r="D34" s="38" t="s">
        <v>38</v>
      </c>
    </row>
    <row r="35" spans="2:4" x14ac:dyDescent="0.25">
      <c r="C35" s="40"/>
    </row>
    <row r="36" spans="2:4" x14ac:dyDescent="0.25">
      <c r="C36" s="40"/>
    </row>
    <row r="37" spans="2:4" x14ac:dyDescent="0.25">
      <c r="C37" s="41"/>
    </row>
  </sheetData>
  <mergeCells count="4">
    <mergeCell ref="D16:D24"/>
    <mergeCell ref="D25:D28"/>
    <mergeCell ref="B15:D15"/>
    <mergeCell ref="B30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Lluis Vila Prat</dc:creator>
  <cp:lastModifiedBy>Lluis Vila Prat</cp:lastModifiedBy>
  <dcterms:created xsi:type="dcterms:W3CDTF">2024-09-10T07:21:55Z</dcterms:created>
  <dcterms:modified xsi:type="dcterms:W3CDTF">2026-04-02T12:21:07Z</dcterms:modified>
</cp:coreProperties>
</file>